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重み付けマトリクス" sheetId="2" state="visible" r:id="rId4"/>
    <sheet name="国マスタ_評価スコア" sheetId="3" state="visible" r:id="rId5"/>
    <sheet name="スコア計算シミュレーション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<sst xmlns="http://schemas.openxmlformats.org/spreadsheetml/2006/main" count="123" uniqueCount="81">
  <si>
    <r>
      <rPr>
        <b val="true"/>
        <sz val="14"/>
        <color rgb="FF1F4E78"/>
        <rFont val="Noto Sans CJK SC"/>
        <family val="2"/>
      </rPr>
      <t xml:space="preserve">海外移住・留学診断サイト マスタデータ </t>
    </r>
    <r>
      <rPr>
        <b val="true"/>
        <sz val="14"/>
        <color rgb="FF1F4E78"/>
        <rFont val="Arial"/>
        <family val="0"/>
        <charset val="1"/>
      </rPr>
      <t xml:space="preserve">v0.1</t>
    </r>
  </si>
  <si>
    <t xml:space="preserve">構成</t>
  </si>
  <si>
    <r>
      <rPr>
        <sz val="10"/>
        <rFont val="Noto Sans CJK SC"/>
        <family val="2"/>
      </rPr>
      <t xml:space="preserve">・重み付けマトリクス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目的セグメント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評価軸の重み</t>
    </r>
    <r>
      <rPr>
        <sz val="10"/>
        <rFont val="Arial"/>
        <family val="0"/>
        <charset val="1"/>
      </rPr>
      <t xml:space="preserve">(%)</t>
    </r>
    <r>
      <rPr>
        <sz val="10"/>
        <rFont val="Noto Sans CJK SC"/>
        <family val="2"/>
      </rPr>
      <t xml:space="preserve">。診断ロジックの心臓部。</t>
    </r>
  </si>
  <si>
    <r>
      <rPr>
        <sz val="10"/>
        <rFont val="Noto Sans CJK SC"/>
        <family val="2"/>
      </rPr>
      <t xml:space="preserve">・国マスタ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評価スコア</t>
    </r>
    <r>
      <rPr>
        <sz val="10"/>
        <rFont val="Arial"/>
        <family val="0"/>
        <charset val="1"/>
      </rPr>
      <t xml:space="preserve">:18</t>
    </r>
    <r>
      <rPr>
        <sz val="10"/>
        <rFont val="Noto Sans CJK SC"/>
        <family val="2"/>
      </rPr>
      <t xml:space="preserve">カ国</t>
    </r>
    <r>
      <rPr>
        <sz val="10"/>
        <rFont val="Arial"/>
        <family val="0"/>
        <charset val="1"/>
      </rPr>
      <t xml:space="preserve">×10</t>
    </r>
    <r>
      <rPr>
        <sz val="10"/>
        <rFont val="Noto Sans CJK SC"/>
        <family val="2"/>
      </rPr>
      <t xml:space="preserve">評価軸のスコア</t>
    </r>
    <r>
      <rPr>
        <sz val="10"/>
        <rFont val="Arial"/>
        <family val="0"/>
        <charset val="1"/>
      </rPr>
      <t xml:space="preserve">(1-5</t>
    </r>
    <r>
      <rPr>
        <sz val="10"/>
        <rFont val="Noto Sans CJK SC"/>
        <family val="2"/>
      </rPr>
      <t xml:space="preserve">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。黄色セルは初期ドラフト値のため要検証。</t>
    </r>
  </si>
  <si>
    <r>
      <rPr>
        <sz val="10"/>
        <rFont val="Noto Sans CJK SC"/>
        <family val="2"/>
      </rPr>
      <t xml:space="preserve">・スコア計算シミュレーション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重み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国スコアの内積で各セグメントの国別マッチ度を自動計算</t>
    </r>
    <r>
      <rPr>
        <sz val="10"/>
        <rFont val="Arial"/>
        <family val="0"/>
        <charset val="1"/>
      </rPr>
      <t xml:space="preserve">(SUMPRODUCT)</t>
    </r>
    <r>
      <rPr>
        <sz val="10"/>
        <rFont val="Noto Sans CJK SC"/>
        <family val="2"/>
      </rPr>
      <t xml:space="preserve">。</t>
    </r>
  </si>
  <si>
    <t xml:space="preserve">重要な注記</t>
  </si>
  <si>
    <r>
      <rPr>
        <sz val="9"/>
        <color rgb="FFC00000"/>
        <rFont val="Noto Sans CJK SC"/>
        <family val="2"/>
      </rPr>
      <t xml:space="preserve">・国マスタのスコアはビザ制度・税制の一次情報未確認の初期ドラフト値です。公開</t>
    </r>
    <r>
      <rPr>
        <sz val="9"/>
        <color rgb="FFC00000"/>
        <rFont val="Arial"/>
        <family val="0"/>
        <charset val="1"/>
      </rPr>
      <t xml:space="preserve">launch</t>
    </r>
    <r>
      <rPr>
        <sz val="9"/>
        <color rgb="FFC00000"/>
        <rFont val="Noto Sans CJK SC"/>
        <family val="2"/>
      </rPr>
      <t xml:space="preserve">前に必ず現地専門家</t>
    </r>
    <r>
      <rPr>
        <sz val="9"/>
        <color rgb="FFC00000"/>
        <rFont val="Arial"/>
        <family val="0"/>
        <charset val="1"/>
      </rPr>
      <t xml:space="preserve">/</t>
    </r>
    <r>
      <rPr>
        <sz val="9"/>
        <color rgb="FFC00000"/>
        <rFont val="Noto Sans CJK SC"/>
        <family val="2"/>
      </rPr>
      <t xml:space="preserve">一次情報での検証が必要です。</t>
    </r>
  </si>
  <si>
    <t xml:space="preserve">・ビザ制度は法改正頻度が高いため「最終更新日」列を必ず運用で更新してください。</t>
  </si>
  <si>
    <r>
      <rPr>
        <sz val="9"/>
        <color rgb="FFC00000"/>
        <rFont val="Noto Sans CJK SC"/>
        <family val="2"/>
      </rPr>
      <t xml:space="preserve">・香港・中国・インドネシア</t>
    </r>
    <r>
      <rPr>
        <sz val="9"/>
        <color rgb="FFC00000"/>
        <rFont val="Arial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バリ</t>
    </r>
    <r>
      <rPr>
        <sz val="9"/>
        <color rgb="FFC00000"/>
        <rFont val="Arial"/>
        <family val="0"/>
        <charset val="1"/>
      </rPr>
      <t xml:space="preserve">)</t>
    </r>
    <r>
      <rPr>
        <sz val="9"/>
        <color rgb="FFC00000"/>
        <rFont val="Noto Sans CJK SC"/>
        <family val="2"/>
      </rPr>
      <t xml:space="preserve">は制度変更</t>
    </r>
    <r>
      <rPr>
        <sz val="9"/>
        <color rgb="FFC00000"/>
        <rFont val="Arial"/>
        <family val="0"/>
        <charset val="1"/>
      </rPr>
      <t xml:space="preserve">/</t>
    </r>
    <r>
      <rPr>
        <sz val="9"/>
        <color rgb="FFC00000"/>
        <rFont val="Noto Sans CJK SC"/>
        <family val="2"/>
      </rPr>
      <t xml:space="preserve">情勢リスクが高いため『制度安定性』軸のスコアを保守的に設定しています。</t>
    </r>
  </si>
  <si>
    <r>
      <rPr>
        <b val="true"/>
        <sz val="14"/>
        <color rgb="FF1F4E78"/>
        <rFont val="Noto Sans CJK SC"/>
        <family val="2"/>
      </rPr>
      <t xml:space="preserve">セグメント</t>
    </r>
    <r>
      <rPr>
        <b val="true"/>
        <sz val="14"/>
        <color rgb="FF1F4E78"/>
        <rFont val="Arial"/>
        <family val="0"/>
        <charset val="1"/>
      </rPr>
      <t xml:space="preserve">×</t>
    </r>
    <r>
      <rPr>
        <b val="true"/>
        <sz val="14"/>
        <color rgb="FF1F4E78"/>
        <rFont val="Noto Sans CJK SC"/>
        <family val="2"/>
      </rPr>
      <t xml:space="preserve">評価軸 重み付け</t>
    </r>
    <r>
      <rPr>
        <b val="true"/>
        <sz val="14"/>
        <color rgb="FF1F4E78"/>
        <rFont val="Arial"/>
        <family val="0"/>
        <charset val="1"/>
      </rPr>
      <t xml:space="preserve">(%)</t>
    </r>
  </si>
  <si>
    <t xml:space="preserve">目的セグメント</t>
  </si>
  <si>
    <t xml:space="preserve">教育水準</t>
  </si>
  <si>
    <t xml:space="preserve">税制優遇</t>
  </si>
  <si>
    <t xml:space="preserve">生活費の安さ</t>
  </si>
  <si>
    <t xml:space="preserve">治安</t>
  </si>
  <si>
    <t xml:space="preserve">気候</t>
  </si>
  <si>
    <t xml:space="preserve">ビザ取得易しさ</t>
  </si>
  <si>
    <t xml:space="preserve">就労機会</t>
  </si>
  <si>
    <t xml:space="preserve">英語通用度</t>
  </si>
  <si>
    <r>
      <rPr>
        <b val="true"/>
        <sz val="10"/>
        <color rgb="FFFFFFFF"/>
        <rFont val="Noto Sans CJK SC"/>
        <family val="2"/>
      </rPr>
      <t xml:space="preserve">日本人少なさ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語学向上度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</si>
  <si>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制度安定性</t>
  </si>
  <si>
    <t xml:space="preserve">合計チェック</t>
  </si>
  <si>
    <t xml:space="preserve">富裕層移住</t>
  </si>
  <si>
    <t xml:space="preserve">早期リタイア</t>
  </si>
  <si>
    <t xml:space="preserve">語学留学</t>
  </si>
  <si>
    <t xml:space="preserve">ワーホリ</t>
  </si>
  <si>
    <t xml:space="preserve">海外就職</t>
  </si>
  <si>
    <t xml:space="preserve">教育移住・母子留学</t>
  </si>
  <si>
    <t xml:space="preserve">起業・ビジネス移住</t>
  </si>
  <si>
    <r>
      <rPr>
        <i val="true"/>
        <sz val="9"/>
        <color rgb="FF808080"/>
        <rFont val="Noto Sans CJK SC"/>
        <family val="2"/>
      </rPr>
      <t xml:space="preserve">※黄色セル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編集可能な重み入力欄。各行の合計は</t>
    </r>
    <r>
      <rPr>
        <i val="true"/>
        <sz val="9"/>
        <color rgb="FF808080"/>
        <rFont val="Arial"/>
        <family val="0"/>
        <charset val="1"/>
      </rPr>
      <t xml:space="preserve">100%</t>
    </r>
    <r>
      <rPr>
        <i val="true"/>
        <sz val="9"/>
        <color rgb="FF808080"/>
        <rFont val="Noto Sans CJK SC"/>
        <family val="2"/>
      </rPr>
      <t xml:space="preserve">になるよう設計。</t>
    </r>
  </si>
  <si>
    <r>
      <rPr>
        <b val="true"/>
        <sz val="14"/>
        <color rgb="FF1F4E78"/>
        <rFont val="Noto Sans CJK SC"/>
        <family val="2"/>
      </rPr>
      <t xml:space="preserve">国マスタ</t>
    </r>
    <r>
      <rPr>
        <b val="true"/>
        <sz val="14"/>
        <color rgb="FF1F4E78"/>
        <rFont val="Arial"/>
        <family val="0"/>
        <charset val="1"/>
      </rPr>
      <t xml:space="preserve">:</t>
    </r>
    <r>
      <rPr>
        <b val="true"/>
        <sz val="14"/>
        <color rgb="FF1F4E78"/>
        <rFont val="Noto Sans CJK SC"/>
        <family val="2"/>
      </rPr>
      <t xml:space="preserve">評価スコア</t>
    </r>
    <r>
      <rPr>
        <b val="true"/>
        <sz val="14"/>
        <color rgb="FF1F4E78"/>
        <rFont val="Arial"/>
        <family val="0"/>
        <charset val="1"/>
      </rPr>
      <t xml:space="preserve">(1-5</t>
    </r>
    <r>
      <rPr>
        <b val="true"/>
        <sz val="14"/>
        <color rgb="FF1F4E78"/>
        <rFont val="Noto Sans CJK SC"/>
        <family val="2"/>
      </rPr>
      <t xml:space="preserve">点、初期ドラフト</t>
    </r>
    <r>
      <rPr>
        <b val="true"/>
        <sz val="14"/>
        <color rgb="FF1F4E78"/>
        <rFont val="Arial"/>
        <family val="0"/>
        <charset val="1"/>
      </rPr>
      <t xml:space="preserve">)</t>
    </r>
  </si>
  <si>
    <t xml:space="preserve">国・地域</t>
  </si>
  <si>
    <t xml:space="preserve">地域区分</t>
  </si>
  <si>
    <r>
      <rPr>
        <b val="true"/>
        <sz val="10"/>
        <color rgb="FFFFFFFF"/>
        <rFont val="Noto Sans CJK SC"/>
        <family val="2"/>
      </rPr>
      <t xml:space="preserve">備考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要検証事項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</si>
  <si>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最終更新日</t>
  </si>
  <si>
    <t xml:space="preserve">マレーシア</t>
  </si>
  <si>
    <t xml:space="preserve">アジア</t>
  </si>
  <si>
    <r>
      <rPr>
        <sz val="9"/>
        <rFont val="Arial"/>
        <family val="0"/>
        <charset val="1"/>
      </rPr>
      <t xml:space="preserve">MM2H</t>
    </r>
    <r>
      <rPr>
        <sz val="9"/>
        <rFont val="Noto Sans CJK SC"/>
        <family val="2"/>
      </rPr>
      <t xml:space="preserve">再構築中、要最新確認</t>
    </r>
  </si>
  <si>
    <r>
      <rPr>
        <sz val="9"/>
        <rFont val="Arial"/>
        <family val="0"/>
        <charset val="1"/>
      </rPr>
      <t xml:space="preserve">2026-08-15(</t>
    </r>
    <r>
      <rPr>
        <sz val="9"/>
        <rFont val="Noto Sans CJK SC"/>
        <family val="2"/>
      </rPr>
      <t xml:space="preserve">ドラフト作成日</t>
    </r>
    <r>
      <rPr>
        <sz val="9"/>
        <rFont val="Arial"/>
        <family val="0"/>
        <charset val="1"/>
      </rPr>
      <t xml:space="preserve">)</t>
    </r>
  </si>
  <si>
    <t xml:space="preserve">シンガポール</t>
  </si>
  <si>
    <t xml:space="preserve">生活費最高水準</t>
  </si>
  <si>
    <t xml:space="preserve">タイ</t>
  </si>
  <si>
    <r>
      <rPr>
        <sz val="9"/>
        <rFont val="Noto Sans CJK SC"/>
        <family val="2"/>
      </rPr>
      <t xml:space="preserve">リタイア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エリートビザ人気</t>
    </r>
  </si>
  <si>
    <t xml:space="preserve">フィリピン</t>
  </si>
  <si>
    <t xml:space="preserve">語学留学の入門国として最安クラス</t>
  </si>
  <si>
    <t xml:space="preserve">韓国</t>
  </si>
  <si>
    <t xml:space="preserve">若年層の語学・ワーホリ実需高い</t>
  </si>
  <si>
    <t xml:space="preserve">台湾</t>
  </si>
  <si>
    <t xml:space="preserve">親日・生活コスト安・医療水準高い</t>
  </si>
  <si>
    <t xml:space="preserve">香港</t>
  </si>
  <si>
    <t xml:space="preserve">情勢リスクにより制度安定性を保守的に設定</t>
  </si>
  <si>
    <t xml:space="preserve">中国</t>
  </si>
  <si>
    <t xml:space="preserve">駐在・就職セグメント限定での掲載を想定</t>
  </si>
  <si>
    <r>
      <rPr>
        <b val="true"/>
        <sz val="10"/>
        <rFont val="Noto Sans CJK SC"/>
        <family val="2"/>
      </rPr>
      <t xml:space="preserve">インドネシア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バリ</t>
    </r>
    <r>
      <rPr>
        <b val="true"/>
        <sz val="10"/>
        <rFont val="Arial"/>
        <family val="0"/>
        <charset val="1"/>
      </rPr>
      <t xml:space="preserve">)</t>
    </r>
  </si>
  <si>
    <t xml:space="preserve">ビザ制度変更頻度高く要更新運用</t>
  </si>
  <si>
    <t xml:space="preserve">オーストラリア</t>
  </si>
  <si>
    <t xml:space="preserve">オセアニア</t>
  </si>
  <si>
    <r>
      <rPr>
        <sz val="9"/>
        <rFont val="Noto Sans CJK SC"/>
        <family val="2"/>
      </rPr>
      <t xml:space="preserve">ワーホリ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技能移住の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大人気国</t>
    </r>
  </si>
  <si>
    <t xml:space="preserve">ニュージーランド</t>
  </si>
  <si>
    <t xml:space="preserve">治安・自然環境評価高い</t>
  </si>
  <si>
    <t xml:space="preserve">カナダ</t>
  </si>
  <si>
    <t xml:space="preserve">北米</t>
  </si>
  <si>
    <t xml:space="preserve">永住権への接続しやすさが強み</t>
  </si>
  <si>
    <t xml:space="preserve">アメリカ</t>
  </si>
  <si>
    <t xml:space="preserve">ビザ抽選等ハードル高いが選択肢最多</t>
  </si>
  <si>
    <r>
      <rPr>
        <b val="true"/>
        <sz val="10"/>
        <rFont val="Arial"/>
        <family val="0"/>
        <charset val="1"/>
      </rPr>
      <t xml:space="preserve">UAE(</t>
    </r>
    <r>
      <rPr>
        <b val="true"/>
        <sz val="10"/>
        <rFont val="Noto Sans CJK SC"/>
        <family val="2"/>
      </rPr>
      <t xml:space="preserve">ドバイ</t>
    </r>
    <r>
      <rPr>
        <b val="true"/>
        <sz val="10"/>
        <rFont val="Arial"/>
        <family val="0"/>
        <charset val="1"/>
      </rPr>
      <t xml:space="preserve">)</t>
    </r>
  </si>
  <si>
    <t xml:space="preserve">中東</t>
  </si>
  <si>
    <t xml:space="preserve">所得税ゼロ、近年法人税導入等は要確認</t>
  </si>
  <si>
    <t xml:space="preserve">スイス</t>
  </si>
  <si>
    <t xml:space="preserve">ヨーロッパ</t>
  </si>
  <si>
    <r>
      <rPr>
        <sz val="9"/>
        <rFont val="Noto Sans CJK SC"/>
        <family val="2"/>
      </rPr>
      <t xml:space="preserve">超富裕層</t>
    </r>
    <r>
      <rPr>
        <sz val="9"/>
        <rFont val="Arial"/>
        <family val="0"/>
        <charset val="1"/>
      </rPr>
      <t xml:space="preserve">×</t>
    </r>
    <r>
      <rPr>
        <sz val="9"/>
        <rFont val="Noto Sans CJK SC"/>
        <family val="2"/>
      </rPr>
      <t xml:space="preserve">教育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ボーディングスクール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の本命</t>
    </r>
  </si>
  <si>
    <t xml:space="preserve">イギリス</t>
  </si>
  <si>
    <r>
      <rPr>
        <sz val="9"/>
        <rFont val="Noto Sans CJK SC"/>
        <family val="2"/>
      </rPr>
      <t xml:space="preserve">名門校教育、</t>
    </r>
    <r>
      <rPr>
        <sz val="9"/>
        <rFont val="Arial"/>
        <family val="0"/>
        <charset val="1"/>
      </rPr>
      <t xml:space="preserve">Brexit</t>
    </r>
    <r>
      <rPr>
        <sz val="9"/>
        <rFont val="Noto Sans CJK SC"/>
        <family val="2"/>
      </rPr>
      <t xml:space="preserve">後投資移住ハードル上昇</t>
    </r>
  </si>
  <si>
    <t xml:space="preserve">フランス</t>
  </si>
  <si>
    <t xml:space="preserve">非英語圏教育移住、タレントパスポート</t>
  </si>
  <si>
    <t xml:space="preserve">ポルトガル</t>
  </si>
  <si>
    <r>
      <rPr>
        <sz val="9"/>
        <rFont val="Noto Sans CJK SC"/>
        <family val="2"/>
      </rPr>
      <t xml:space="preserve">中間層富裕層向け</t>
    </r>
    <r>
      <rPr>
        <sz val="9"/>
        <rFont val="Arial"/>
        <family val="0"/>
        <charset val="1"/>
      </rPr>
      <t xml:space="preserve">EU</t>
    </r>
    <r>
      <rPr>
        <sz val="9"/>
        <rFont val="Noto Sans CJK SC"/>
        <family val="2"/>
      </rPr>
      <t xml:space="preserve">圏の入口</t>
    </r>
  </si>
  <si>
    <r>
      <rPr>
        <b val="true"/>
        <sz val="14"/>
        <color rgb="FF1F4E78"/>
        <rFont val="Noto Sans CJK SC"/>
        <family val="2"/>
      </rPr>
      <t xml:space="preserve">セグメント別・国マッチ度シミュレーション</t>
    </r>
    <r>
      <rPr>
        <b val="true"/>
        <sz val="14"/>
        <color rgb="FF1F4E78"/>
        <rFont val="Arial"/>
        <family val="0"/>
        <charset val="1"/>
      </rPr>
      <t xml:space="preserve">(SUMPRODUCT</t>
    </r>
    <r>
      <rPr>
        <b val="true"/>
        <sz val="14"/>
        <color rgb="FF1F4E78"/>
        <rFont val="Noto Sans CJK SC"/>
        <family val="2"/>
      </rPr>
      <t xml:space="preserve">で自動計算</t>
    </r>
    <r>
      <rPr>
        <b val="true"/>
        <sz val="14"/>
        <color rgb="FF1F4E78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</si>
  <si>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対象セグメント選択</t>
    </r>
    <r>
      <rPr>
        <b val="true"/>
        <sz val="10"/>
        <rFont val="Arial"/>
        <family val="0"/>
        <charset val="1"/>
      </rPr>
      <t xml:space="preserve">:</t>
    </r>
  </si>
  <si>
    <r>
      <rPr>
        <i val="true"/>
        <sz val="9"/>
        <color rgb="FF808080"/>
        <rFont val="Arial"/>
        <family val="0"/>
        <charset val="1"/>
      </rPr>
      <t xml:space="preserve">※B3</t>
    </r>
    <r>
      <rPr>
        <i val="true"/>
        <sz val="9"/>
        <color rgb="FF808080"/>
        <rFont val="Noto Sans CJK SC"/>
        <family val="2"/>
      </rPr>
      <t xml:space="preserve">に「重み付けマトリクス」シートのセグメント名を入力してください</t>
    </r>
  </si>
  <si>
    <t xml:space="preserve">総合マッチ度スコア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</si>
</sst>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Noto Sans CJK SC"/>
      <family val="2"/>
    </font>
    <font>
      <b val="true"/>
      <sz val="14"/>
      <color rgb="FF1F4E78"/>
      <name val="Arial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C00000"/>
      <name val="Noto Sans CJK SC"/>
      <family val="2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1.6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10" customFormat="false" ht="15" hidden="false" customHeight="false" outlineLevel="0" collapsed="false">
      <c r="B10" s="4" t="s">
        <v>5</v>
      </c>
    </row>
    <row r="12" customFormat="false" ht="15" hidden="false" customHeight="false" outlineLevel="0" collapsed="false">
      <c r="B12" s="5" t="s">
        <v>6</v>
      </c>
    </row>
    <row r="13" customFormat="false" ht="15" hidden="false" customHeight="false" outlineLevel="0" collapsed="false">
      <c r="B13" s="5" t="s">
        <v>7</v>
      </c>
    </row>
    <row r="14" customFormat="false" ht="15" hidden="false" customHeight="false" outlineLevel="0" collapsed="false">
      <c r="B14" s="5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3"/>
    <col collapsed="false" customWidth="true" hidden="false" outlineLevel="0" max="12" min="12" style="0" width="12"/>
  </cols>
  <sheetData>
    <row r="1" customFormat="false" ht="21.6" hidden="false" customHeight="false" outlineLevel="0" collapsed="false">
      <c r="A1" s="1" t="s">
        <v>9</v>
      </c>
    </row>
    <row r="3" customFormat="false" ht="29.85" hidden="false" customHeight="false" outlineLevel="0" collapsed="false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20</v>
      </c>
      <c r="L3" s="7" t="s">
        <v>21</v>
      </c>
    </row>
    <row r="4" customFormat="false" ht="15" hidden="false" customHeight="false" outlineLevel="0" collapsed="false">
      <c r="A4" s="8" t="s">
        <v>22</v>
      </c>
      <c r="B4" s="9" t="n">
        <v>0.05</v>
      </c>
      <c r="C4" s="9" t="n">
        <v>0.35</v>
      </c>
      <c r="D4" s="9" t="n">
        <v>0.05</v>
      </c>
      <c r="E4" s="9" t="n">
        <v>0.15</v>
      </c>
      <c r="F4" s="9" t="n">
        <v>0.05</v>
      </c>
      <c r="G4" s="9" t="n">
        <v>0.1</v>
      </c>
      <c r="H4" s="9" t="n">
        <v>0</v>
      </c>
      <c r="I4" s="9" t="n">
        <v>0.05</v>
      </c>
      <c r="J4" s="9" t="n">
        <v>0</v>
      </c>
      <c r="K4" s="9" t="n">
        <v>0.2</v>
      </c>
      <c r="L4" s="10" t="n">
        <f aca="false">SUM(B4:K4)</f>
        <v>1</v>
      </c>
    </row>
    <row r="5" customFormat="false" ht="15" hidden="false" customHeight="false" outlineLevel="0" collapsed="false">
      <c r="A5" s="8" t="s">
        <v>23</v>
      </c>
      <c r="B5" s="9" t="n">
        <v>0</v>
      </c>
      <c r="C5" s="9" t="n">
        <v>0.1</v>
      </c>
      <c r="D5" s="9" t="n">
        <v>0.25</v>
      </c>
      <c r="E5" s="9" t="n">
        <v>0.2</v>
      </c>
      <c r="F5" s="9" t="n">
        <v>0.2</v>
      </c>
      <c r="G5" s="9" t="n">
        <v>0.1</v>
      </c>
      <c r="H5" s="9" t="n">
        <v>0</v>
      </c>
      <c r="I5" s="9" t="n">
        <v>0.05</v>
      </c>
      <c r="J5" s="9" t="n">
        <v>0</v>
      </c>
      <c r="K5" s="9" t="n">
        <v>0.1</v>
      </c>
      <c r="L5" s="10" t="n">
        <f aca="false">SUM(B5:K5)</f>
        <v>1</v>
      </c>
    </row>
    <row r="6" customFormat="false" ht="15" hidden="false" customHeight="false" outlineLevel="0" collapsed="false">
      <c r="A6" s="8" t="s">
        <v>24</v>
      </c>
      <c r="B6" s="9" t="n">
        <v>0.05</v>
      </c>
      <c r="C6" s="9" t="n">
        <v>0</v>
      </c>
      <c r="D6" s="9" t="n">
        <v>0.2</v>
      </c>
      <c r="E6" s="9" t="n">
        <v>0.15</v>
      </c>
      <c r="F6" s="9" t="n">
        <v>0.05</v>
      </c>
      <c r="G6" s="9" t="n">
        <v>0.05</v>
      </c>
      <c r="H6" s="9" t="n">
        <v>0</v>
      </c>
      <c r="I6" s="9" t="n">
        <v>0.15</v>
      </c>
      <c r="J6" s="9" t="n">
        <v>0.25</v>
      </c>
      <c r="K6" s="9" t="n">
        <v>0.1</v>
      </c>
      <c r="L6" s="10" t="n">
        <f aca="false">SUM(B6:K6)</f>
        <v>1</v>
      </c>
    </row>
    <row r="7" customFormat="false" ht="15" hidden="false" customHeight="false" outlineLevel="0" collapsed="false">
      <c r="A7" s="8" t="s">
        <v>25</v>
      </c>
      <c r="B7" s="9" t="n">
        <v>0</v>
      </c>
      <c r="C7" s="9" t="n">
        <v>0</v>
      </c>
      <c r="D7" s="9" t="n">
        <v>0.2</v>
      </c>
      <c r="E7" s="9" t="n">
        <v>0.15</v>
      </c>
      <c r="F7" s="9" t="n">
        <v>0.05</v>
      </c>
      <c r="G7" s="9" t="n">
        <v>0.2</v>
      </c>
      <c r="H7" s="9" t="n">
        <v>0.25</v>
      </c>
      <c r="I7" s="9" t="n">
        <v>0.1</v>
      </c>
      <c r="J7" s="9" t="n">
        <v>0.05</v>
      </c>
      <c r="K7" s="9" t="n">
        <v>0</v>
      </c>
      <c r="L7" s="10" t="n">
        <f aca="false">SUM(B7:K7)</f>
        <v>1</v>
      </c>
    </row>
    <row r="8" customFormat="false" ht="15" hidden="false" customHeight="false" outlineLevel="0" collapsed="false">
      <c r="A8" s="8" t="s">
        <v>26</v>
      </c>
      <c r="B8" s="9" t="n">
        <v>0</v>
      </c>
      <c r="C8" s="9" t="n">
        <v>0.05</v>
      </c>
      <c r="D8" s="9" t="n">
        <v>0.1</v>
      </c>
      <c r="E8" s="9" t="n">
        <v>0.15</v>
      </c>
      <c r="F8" s="9" t="n">
        <v>0</v>
      </c>
      <c r="G8" s="9" t="n">
        <v>0.1</v>
      </c>
      <c r="H8" s="9" t="n">
        <v>0.35</v>
      </c>
      <c r="I8" s="9" t="n">
        <v>0.2</v>
      </c>
      <c r="J8" s="9" t="n">
        <v>0</v>
      </c>
      <c r="K8" s="9" t="n">
        <v>0.05</v>
      </c>
      <c r="L8" s="10" t="n">
        <f aca="false">SUM(B8:K8)</f>
        <v>1</v>
      </c>
    </row>
    <row r="9" customFormat="false" ht="15" hidden="false" customHeight="false" outlineLevel="0" collapsed="false">
      <c r="A9" s="8" t="s">
        <v>27</v>
      </c>
      <c r="B9" s="9" t="n">
        <v>0.35</v>
      </c>
      <c r="C9" s="9" t="n">
        <v>0.05</v>
      </c>
      <c r="D9" s="9" t="n">
        <v>0.15</v>
      </c>
      <c r="E9" s="9" t="n">
        <v>0.2</v>
      </c>
      <c r="F9" s="9" t="n">
        <v>0.05</v>
      </c>
      <c r="G9" s="9" t="n">
        <v>0.05</v>
      </c>
      <c r="H9" s="9" t="n">
        <v>0</v>
      </c>
      <c r="I9" s="9" t="n">
        <v>0.05</v>
      </c>
      <c r="J9" s="9" t="n">
        <v>0</v>
      </c>
      <c r="K9" s="9" t="n">
        <v>0.1</v>
      </c>
      <c r="L9" s="10" t="n">
        <f aca="false">SUM(B9:K9)</f>
        <v>1</v>
      </c>
    </row>
    <row r="10" customFormat="false" ht="15" hidden="false" customHeight="false" outlineLevel="0" collapsed="false">
      <c r="A10" s="8" t="s">
        <v>28</v>
      </c>
      <c r="B10" s="9" t="n">
        <v>0</v>
      </c>
      <c r="C10" s="9" t="n">
        <v>0.2</v>
      </c>
      <c r="D10" s="9" t="n">
        <v>0.1</v>
      </c>
      <c r="E10" s="9" t="n">
        <v>0.1</v>
      </c>
      <c r="F10" s="9" t="n">
        <v>0</v>
      </c>
      <c r="G10" s="9" t="n">
        <v>0.15</v>
      </c>
      <c r="H10" s="9" t="n">
        <v>0.1</v>
      </c>
      <c r="I10" s="9" t="n">
        <v>0.1</v>
      </c>
      <c r="J10" s="9" t="n">
        <v>0</v>
      </c>
      <c r="K10" s="9" t="n">
        <v>0.25</v>
      </c>
      <c r="L10" s="10" t="n">
        <f aca="false">SUM(B10:K10)</f>
        <v>1</v>
      </c>
    </row>
    <row r="12" customFormat="false" ht="15" hidden="false" customHeight="false" outlineLevel="0" collapsed="false">
      <c r="A12" s="1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12" min="3" style="0" width="10"/>
    <col collapsed="false" customWidth="true" hidden="false" outlineLevel="0" max="13" min="13" style="0" width="40"/>
    <col collapsed="false" customWidth="true" hidden="false" outlineLevel="0" max="14" min="14" style="0" width="20"/>
  </cols>
  <sheetData>
    <row r="1" customFormat="false" ht="21.6" hidden="false" customHeight="false" outlineLevel="0" collapsed="false">
      <c r="A1" s="1" t="s">
        <v>30</v>
      </c>
    </row>
    <row r="3" customFormat="false" ht="44" hidden="false" customHeight="false" outlineLevel="0" collapsed="false">
      <c r="A3" s="7" t="s">
        <v>31</v>
      </c>
      <c r="B3" s="7" t="s">
        <v>32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  <c r="L3" s="7" t="s">
        <v>20</v>
      </c>
      <c r="M3" s="7" t="s">
        <v>33</v>
      </c>
      <c r="N3" s="7" t="s">
        <v>34</v>
      </c>
    </row>
    <row r="4" customFormat="false" ht="15" hidden="false" customHeight="false" outlineLevel="0" collapsed="false">
      <c r="A4" s="8" t="s">
        <v>35</v>
      </c>
      <c r="B4" s="12" t="s">
        <v>36</v>
      </c>
      <c r="C4" s="13" t="n">
        <v>4</v>
      </c>
      <c r="D4" s="13" t="n">
        <v>3</v>
      </c>
      <c r="E4" s="13" t="n">
        <v>4</v>
      </c>
      <c r="F4" s="13" t="n">
        <v>4</v>
      </c>
      <c r="G4" s="13" t="n">
        <v>4</v>
      </c>
      <c r="H4" s="13" t="n">
        <v>3</v>
      </c>
      <c r="I4" s="13" t="n">
        <v>3</v>
      </c>
      <c r="J4" s="13" t="n">
        <v>3</v>
      </c>
      <c r="K4" s="13" t="n">
        <v>3</v>
      </c>
      <c r="L4" s="13" t="n">
        <v>3</v>
      </c>
      <c r="M4" s="14" t="s">
        <v>37</v>
      </c>
      <c r="N4" s="15" t="s">
        <v>38</v>
      </c>
    </row>
    <row r="5" customFormat="false" ht="15" hidden="false" customHeight="false" outlineLevel="0" collapsed="false">
      <c r="A5" s="8" t="s">
        <v>39</v>
      </c>
      <c r="B5" s="12" t="s">
        <v>36</v>
      </c>
      <c r="C5" s="13" t="n">
        <v>5</v>
      </c>
      <c r="D5" s="13" t="n">
        <v>4</v>
      </c>
      <c r="E5" s="13" t="n">
        <v>2</v>
      </c>
      <c r="F5" s="13" t="n">
        <v>5</v>
      </c>
      <c r="G5" s="13" t="n">
        <v>4</v>
      </c>
      <c r="H5" s="13" t="n">
        <v>2</v>
      </c>
      <c r="I5" s="13" t="n">
        <v>4</v>
      </c>
      <c r="J5" s="13" t="n">
        <v>5</v>
      </c>
      <c r="K5" s="13" t="n">
        <v>2</v>
      </c>
      <c r="L5" s="13" t="n">
        <v>5</v>
      </c>
      <c r="M5" s="16" t="s">
        <v>40</v>
      </c>
      <c r="N5" s="15" t="s">
        <v>38</v>
      </c>
    </row>
    <row r="6" customFormat="false" ht="15" hidden="false" customHeight="false" outlineLevel="0" collapsed="false">
      <c r="A6" s="8" t="s">
        <v>41</v>
      </c>
      <c r="B6" s="12" t="s">
        <v>36</v>
      </c>
      <c r="C6" s="13" t="n">
        <v>3</v>
      </c>
      <c r="D6" s="13" t="n">
        <v>3</v>
      </c>
      <c r="E6" s="13" t="n">
        <v>5</v>
      </c>
      <c r="F6" s="13" t="n">
        <v>3</v>
      </c>
      <c r="G6" s="13" t="n">
        <v>4</v>
      </c>
      <c r="H6" s="13" t="n">
        <v>3</v>
      </c>
      <c r="I6" s="13" t="n">
        <v>2</v>
      </c>
      <c r="J6" s="13" t="n">
        <v>2</v>
      </c>
      <c r="K6" s="13" t="n">
        <v>2</v>
      </c>
      <c r="L6" s="13" t="n">
        <v>3</v>
      </c>
      <c r="M6" s="16" t="s">
        <v>42</v>
      </c>
      <c r="N6" s="15" t="s">
        <v>38</v>
      </c>
    </row>
    <row r="7" customFormat="false" ht="15" hidden="false" customHeight="false" outlineLevel="0" collapsed="false">
      <c r="A7" s="8" t="s">
        <v>43</v>
      </c>
      <c r="B7" s="12" t="s">
        <v>36</v>
      </c>
      <c r="C7" s="13" t="n">
        <v>2</v>
      </c>
      <c r="D7" s="13" t="n">
        <v>2</v>
      </c>
      <c r="E7" s="13" t="n">
        <v>5</v>
      </c>
      <c r="F7" s="13" t="n">
        <v>2</v>
      </c>
      <c r="G7" s="13" t="n">
        <v>4</v>
      </c>
      <c r="H7" s="13" t="n">
        <v>4</v>
      </c>
      <c r="I7" s="13" t="n">
        <v>2</v>
      </c>
      <c r="J7" s="13" t="n">
        <v>4</v>
      </c>
      <c r="K7" s="13" t="n">
        <v>4</v>
      </c>
      <c r="L7" s="13" t="n">
        <v>3</v>
      </c>
      <c r="M7" s="16" t="s">
        <v>44</v>
      </c>
      <c r="N7" s="15" t="s">
        <v>38</v>
      </c>
    </row>
    <row r="8" customFormat="false" ht="15" hidden="false" customHeight="false" outlineLevel="0" collapsed="false">
      <c r="A8" s="8" t="s">
        <v>45</v>
      </c>
      <c r="B8" s="12" t="s">
        <v>36</v>
      </c>
      <c r="C8" s="13" t="n">
        <v>3</v>
      </c>
      <c r="D8" s="13" t="n">
        <v>2</v>
      </c>
      <c r="E8" s="13" t="n">
        <v>4</v>
      </c>
      <c r="F8" s="13" t="n">
        <v>4</v>
      </c>
      <c r="G8" s="13" t="n">
        <v>3</v>
      </c>
      <c r="H8" s="13" t="n">
        <v>3</v>
      </c>
      <c r="I8" s="13" t="n">
        <v>3</v>
      </c>
      <c r="J8" s="13" t="n">
        <v>3</v>
      </c>
      <c r="K8" s="13" t="n">
        <v>2</v>
      </c>
      <c r="L8" s="13" t="n">
        <v>5</v>
      </c>
      <c r="M8" s="16" t="s">
        <v>46</v>
      </c>
      <c r="N8" s="15" t="s">
        <v>38</v>
      </c>
    </row>
    <row r="9" customFormat="false" ht="15" hidden="false" customHeight="false" outlineLevel="0" collapsed="false">
      <c r="A9" s="8" t="s">
        <v>47</v>
      </c>
      <c r="B9" s="12" t="s">
        <v>36</v>
      </c>
      <c r="C9" s="13" t="n">
        <v>3</v>
      </c>
      <c r="D9" s="13" t="n">
        <v>2</v>
      </c>
      <c r="E9" s="13" t="n">
        <v>4</v>
      </c>
      <c r="F9" s="13" t="n">
        <v>5</v>
      </c>
      <c r="G9" s="13" t="n">
        <v>4</v>
      </c>
      <c r="H9" s="13" t="n">
        <v>3</v>
      </c>
      <c r="I9" s="13" t="n">
        <v>3</v>
      </c>
      <c r="J9" s="13" t="n">
        <v>3</v>
      </c>
      <c r="K9" s="13" t="n">
        <v>3</v>
      </c>
      <c r="L9" s="13" t="n">
        <v>5</v>
      </c>
      <c r="M9" s="16" t="s">
        <v>48</v>
      </c>
      <c r="N9" s="15" t="s">
        <v>38</v>
      </c>
    </row>
    <row r="10" customFormat="false" ht="15" hidden="false" customHeight="false" outlineLevel="0" collapsed="false">
      <c r="A10" s="8" t="s">
        <v>49</v>
      </c>
      <c r="B10" s="12" t="s">
        <v>36</v>
      </c>
      <c r="C10" s="13" t="n">
        <v>4</v>
      </c>
      <c r="D10" s="13" t="n">
        <v>4</v>
      </c>
      <c r="E10" s="13" t="n">
        <v>2</v>
      </c>
      <c r="F10" s="13" t="n">
        <v>3</v>
      </c>
      <c r="G10" s="13" t="n">
        <v>4</v>
      </c>
      <c r="H10" s="13" t="n">
        <v>3</v>
      </c>
      <c r="I10" s="13" t="n">
        <v>4</v>
      </c>
      <c r="J10" s="13" t="n">
        <v>4</v>
      </c>
      <c r="K10" s="13" t="n">
        <v>2</v>
      </c>
      <c r="L10" s="13" t="n">
        <v>2</v>
      </c>
      <c r="M10" s="16" t="s">
        <v>50</v>
      </c>
      <c r="N10" s="15" t="s">
        <v>38</v>
      </c>
    </row>
    <row r="11" customFormat="false" ht="15" hidden="false" customHeight="false" outlineLevel="0" collapsed="false">
      <c r="A11" s="8" t="s">
        <v>51</v>
      </c>
      <c r="B11" s="12" t="s">
        <v>36</v>
      </c>
      <c r="C11" s="13" t="n">
        <v>2</v>
      </c>
      <c r="D11" s="13" t="n">
        <v>2</v>
      </c>
      <c r="E11" s="13" t="n">
        <v>3</v>
      </c>
      <c r="F11" s="13" t="n">
        <v>2</v>
      </c>
      <c r="G11" s="13" t="n">
        <v>3</v>
      </c>
      <c r="H11" s="13" t="n">
        <v>1</v>
      </c>
      <c r="I11" s="13" t="n">
        <v>3</v>
      </c>
      <c r="J11" s="13" t="n">
        <v>1</v>
      </c>
      <c r="K11" s="13" t="n">
        <v>2</v>
      </c>
      <c r="L11" s="13" t="n">
        <v>2</v>
      </c>
      <c r="M11" s="16" t="s">
        <v>52</v>
      </c>
      <c r="N11" s="15" t="s">
        <v>38</v>
      </c>
    </row>
    <row r="12" customFormat="false" ht="15" hidden="false" customHeight="false" outlineLevel="0" collapsed="false">
      <c r="A12" s="8" t="s">
        <v>53</v>
      </c>
      <c r="B12" s="12" t="s">
        <v>36</v>
      </c>
      <c r="C12" s="13" t="n">
        <v>2</v>
      </c>
      <c r="D12" s="13" t="n">
        <v>2</v>
      </c>
      <c r="E12" s="13" t="n">
        <v>5</v>
      </c>
      <c r="F12" s="13" t="n">
        <v>3</v>
      </c>
      <c r="G12" s="13" t="n">
        <v>5</v>
      </c>
      <c r="H12" s="13" t="n">
        <v>2</v>
      </c>
      <c r="I12" s="13" t="n">
        <v>2</v>
      </c>
      <c r="J12" s="13" t="n">
        <v>3</v>
      </c>
      <c r="K12" s="13" t="n">
        <v>3</v>
      </c>
      <c r="L12" s="13" t="n">
        <v>2</v>
      </c>
      <c r="M12" s="16" t="s">
        <v>54</v>
      </c>
      <c r="N12" s="15" t="s">
        <v>38</v>
      </c>
    </row>
    <row r="13" customFormat="false" ht="15" hidden="false" customHeight="false" outlineLevel="0" collapsed="false">
      <c r="A13" s="8" t="s">
        <v>55</v>
      </c>
      <c r="B13" s="12" t="s">
        <v>56</v>
      </c>
      <c r="C13" s="13" t="n">
        <v>4</v>
      </c>
      <c r="D13" s="13" t="n">
        <v>2</v>
      </c>
      <c r="E13" s="13" t="n">
        <v>3</v>
      </c>
      <c r="F13" s="13" t="n">
        <v>4</v>
      </c>
      <c r="G13" s="13" t="n">
        <v>4</v>
      </c>
      <c r="H13" s="13" t="n">
        <v>3</v>
      </c>
      <c r="I13" s="13" t="n">
        <v>4</v>
      </c>
      <c r="J13" s="13" t="n">
        <v>5</v>
      </c>
      <c r="K13" s="13" t="n">
        <v>3</v>
      </c>
      <c r="L13" s="13" t="n">
        <v>4</v>
      </c>
      <c r="M13" s="16" t="s">
        <v>57</v>
      </c>
      <c r="N13" s="15" t="s">
        <v>38</v>
      </c>
    </row>
    <row r="14" customFormat="false" ht="15" hidden="false" customHeight="false" outlineLevel="0" collapsed="false">
      <c r="A14" s="8" t="s">
        <v>58</v>
      </c>
      <c r="B14" s="12" t="s">
        <v>56</v>
      </c>
      <c r="C14" s="13" t="n">
        <v>4</v>
      </c>
      <c r="D14" s="13" t="n">
        <v>2</v>
      </c>
      <c r="E14" s="13" t="n">
        <v>3</v>
      </c>
      <c r="F14" s="13" t="n">
        <v>5</v>
      </c>
      <c r="G14" s="13" t="n">
        <v>3</v>
      </c>
      <c r="H14" s="13" t="n">
        <v>3</v>
      </c>
      <c r="I14" s="13" t="n">
        <v>3</v>
      </c>
      <c r="J14" s="13" t="n">
        <v>5</v>
      </c>
      <c r="K14" s="13" t="n">
        <v>3</v>
      </c>
      <c r="L14" s="13" t="n">
        <v>4</v>
      </c>
      <c r="M14" s="16" t="s">
        <v>59</v>
      </c>
      <c r="N14" s="15" t="s">
        <v>38</v>
      </c>
    </row>
    <row r="15" customFormat="false" ht="15" hidden="false" customHeight="false" outlineLevel="0" collapsed="false">
      <c r="A15" s="8" t="s">
        <v>60</v>
      </c>
      <c r="B15" s="12" t="s">
        <v>61</v>
      </c>
      <c r="C15" s="13" t="n">
        <v>4</v>
      </c>
      <c r="D15" s="13" t="n">
        <v>2</v>
      </c>
      <c r="E15" s="13" t="n">
        <v>2</v>
      </c>
      <c r="F15" s="13" t="n">
        <v>4</v>
      </c>
      <c r="G15" s="13" t="n">
        <v>2</v>
      </c>
      <c r="H15" s="13" t="n">
        <v>3</v>
      </c>
      <c r="I15" s="13" t="n">
        <v>4</v>
      </c>
      <c r="J15" s="13" t="n">
        <v>5</v>
      </c>
      <c r="K15" s="13" t="n">
        <v>3</v>
      </c>
      <c r="L15" s="13" t="n">
        <v>5</v>
      </c>
      <c r="M15" s="16" t="s">
        <v>62</v>
      </c>
      <c r="N15" s="15" t="s">
        <v>38</v>
      </c>
    </row>
    <row r="16" customFormat="false" ht="15" hidden="false" customHeight="false" outlineLevel="0" collapsed="false">
      <c r="A16" s="8" t="s">
        <v>63</v>
      </c>
      <c r="B16" s="12" t="s">
        <v>61</v>
      </c>
      <c r="C16" s="13" t="n">
        <v>5</v>
      </c>
      <c r="D16" s="13" t="n">
        <v>1</v>
      </c>
      <c r="E16" s="13" t="n">
        <v>1</v>
      </c>
      <c r="F16" s="13" t="n">
        <v>3</v>
      </c>
      <c r="G16" s="13" t="n">
        <v>3</v>
      </c>
      <c r="H16" s="13" t="n">
        <v>1</v>
      </c>
      <c r="I16" s="13" t="n">
        <v>3</v>
      </c>
      <c r="J16" s="13" t="n">
        <v>5</v>
      </c>
      <c r="K16" s="13" t="n">
        <v>3</v>
      </c>
      <c r="L16" s="13" t="n">
        <v>3</v>
      </c>
      <c r="M16" s="16" t="s">
        <v>64</v>
      </c>
      <c r="N16" s="15" t="s">
        <v>38</v>
      </c>
    </row>
    <row r="17" customFormat="false" ht="15" hidden="false" customHeight="false" outlineLevel="0" collapsed="false">
      <c r="A17" s="17" t="s">
        <v>65</v>
      </c>
      <c r="B17" s="12" t="s">
        <v>66</v>
      </c>
      <c r="C17" s="13" t="n">
        <v>3</v>
      </c>
      <c r="D17" s="13" t="n">
        <v>5</v>
      </c>
      <c r="E17" s="13" t="n">
        <v>2</v>
      </c>
      <c r="F17" s="13" t="n">
        <v>5</v>
      </c>
      <c r="G17" s="13" t="n">
        <v>2</v>
      </c>
      <c r="H17" s="13" t="n">
        <v>3</v>
      </c>
      <c r="I17" s="13" t="n">
        <v>4</v>
      </c>
      <c r="J17" s="13" t="n">
        <v>4</v>
      </c>
      <c r="K17" s="13" t="n">
        <v>2</v>
      </c>
      <c r="L17" s="13" t="n">
        <v>3</v>
      </c>
      <c r="M17" s="16" t="s">
        <v>67</v>
      </c>
      <c r="N17" s="15" t="s">
        <v>38</v>
      </c>
    </row>
    <row r="18" customFormat="false" ht="15" hidden="false" customHeight="false" outlineLevel="0" collapsed="false">
      <c r="A18" s="8" t="s">
        <v>68</v>
      </c>
      <c r="B18" s="12" t="s">
        <v>69</v>
      </c>
      <c r="C18" s="13" t="n">
        <v>5</v>
      </c>
      <c r="D18" s="13" t="n">
        <v>5</v>
      </c>
      <c r="E18" s="13" t="n">
        <v>1</v>
      </c>
      <c r="F18" s="13" t="n">
        <v>5</v>
      </c>
      <c r="G18" s="13" t="n">
        <v>3</v>
      </c>
      <c r="H18" s="13" t="n">
        <v>2</v>
      </c>
      <c r="I18" s="13" t="n">
        <v>3</v>
      </c>
      <c r="J18" s="13" t="n">
        <v>4</v>
      </c>
      <c r="K18" s="13" t="n">
        <v>2</v>
      </c>
      <c r="L18" s="13" t="n">
        <v>5</v>
      </c>
      <c r="M18" s="16" t="s">
        <v>70</v>
      </c>
      <c r="N18" s="15" t="s">
        <v>38</v>
      </c>
    </row>
    <row r="19" customFormat="false" ht="15" hidden="false" customHeight="false" outlineLevel="0" collapsed="false">
      <c r="A19" s="8" t="s">
        <v>71</v>
      </c>
      <c r="B19" s="12" t="s">
        <v>69</v>
      </c>
      <c r="C19" s="13" t="n">
        <v>5</v>
      </c>
      <c r="D19" s="13" t="n">
        <v>2</v>
      </c>
      <c r="E19" s="13" t="n">
        <v>2</v>
      </c>
      <c r="F19" s="13" t="n">
        <v>3</v>
      </c>
      <c r="G19" s="13" t="n">
        <v>2</v>
      </c>
      <c r="H19" s="13" t="n">
        <v>2</v>
      </c>
      <c r="I19" s="13" t="n">
        <v>3</v>
      </c>
      <c r="J19" s="13" t="n">
        <v>5</v>
      </c>
      <c r="K19" s="13" t="n">
        <v>3</v>
      </c>
      <c r="L19" s="13" t="n">
        <v>4</v>
      </c>
      <c r="M19" s="16" t="s">
        <v>72</v>
      </c>
      <c r="N19" s="15" t="s">
        <v>38</v>
      </c>
    </row>
    <row r="20" customFormat="false" ht="15" hidden="false" customHeight="false" outlineLevel="0" collapsed="false">
      <c r="A20" s="8" t="s">
        <v>73</v>
      </c>
      <c r="B20" s="12" t="s">
        <v>69</v>
      </c>
      <c r="C20" s="13" t="n">
        <v>4</v>
      </c>
      <c r="D20" s="13" t="n">
        <v>3</v>
      </c>
      <c r="E20" s="13" t="n">
        <v>3</v>
      </c>
      <c r="F20" s="13" t="n">
        <v>3</v>
      </c>
      <c r="G20" s="13" t="n">
        <v>3</v>
      </c>
      <c r="H20" s="13" t="n">
        <v>3</v>
      </c>
      <c r="I20" s="13" t="n">
        <v>3</v>
      </c>
      <c r="J20" s="13" t="n">
        <v>2</v>
      </c>
      <c r="K20" s="13" t="n">
        <v>3</v>
      </c>
      <c r="L20" s="13" t="n">
        <v>4</v>
      </c>
      <c r="M20" s="16" t="s">
        <v>74</v>
      </c>
      <c r="N20" s="15" t="s">
        <v>38</v>
      </c>
    </row>
    <row r="21" customFormat="false" ht="15" hidden="false" customHeight="false" outlineLevel="0" collapsed="false">
      <c r="A21" s="8" t="s">
        <v>75</v>
      </c>
      <c r="B21" s="12" t="s">
        <v>69</v>
      </c>
      <c r="C21" s="13" t="n">
        <v>3</v>
      </c>
      <c r="D21" s="13" t="n">
        <v>4</v>
      </c>
      <c r="E21" s="13" t="n">
        <v>3</v>
      </c>
      <c r="F21" s="13" t="n">
        <v>4</v>
      </c>
      <c r="G21" s="13" t="n">
        <v>4</v>
      </c>
      <c r="H21" s="13" t="n">
        <v>3</v>
      </c>
      <c r="I21" s="13" t="n">
        <v>2</v>
      </c>
      <c r="J21" s="13" t="n">
        <v>3</v>
      </c>
      <c r="K21" s="13" t="n">
        <v>4</v>
      </c>
      <c r="L21" s="13" t="n">
        <v>3</v>
      </c>
      <c r="M21" s="16" t="s">
        <v>76</v>
      </c>
      <c r="N21" s="1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4" style="0" width="50"/>
  </cols>
  <sheetData>
    <row r="1" customFormat="false" ht="21.6" hidden="false" customHeight="false" outlineLevel="0" collapsed="false">
      <c r="A1" s="1" t="s">
        <v>77</v>
      </c>
    </row>
    <row r="3" customFormat="false" ht="15" hidden="false" customHeight="false" outlineLevel="0" collapsed="false">
      <c r="A3" s="18" t="s">
        <v>78</v>
      </c>
      <c r="B3" s="19" t="s">
        <v>22</v>
      </c>
      <c r="D3" s="20" t="s">
        <v>79</v>
      </c>
    </row>
    <row r="5" customFormat="false" ht="15" hidden="false" customHeight="false" outlineLevel="0" collapsed="false">
      <c r="A5" s="6" t="s">
        <v>31</v>
      </c>
      <c r="B5" s="21" t="s">
        <v>80</v>
      </c>
    </row>
    <row r="6" customFormat="false" ht="15" hidden="false" customHeight="false" outlineLevel="0" collapsed="false">
      <c r="A6" s="12" t="str">
        <f aca="false">国マスタ_評価スコア!A4</f>
        <v>マレーシア</v>
      </c>
      <c r="B6" s="22" t="n">
        <f aca="true">SUMPRODUCT(国マスタ_評価スコア!C4:L4,OFFSET(重み付けマトリクス!$B$3,MATCH($B$3,重み付けマトリクス!$A$4:$A$10,0),0,1,10))</f>
        <v>3.3</v>
      </c>
    </row>
    <row r="7" customFormat="false" ht="15" hidden="false" customHeight="false" outlineLevel="0" collapsed="false">
      <c r="A7" s="12" t="str">
        <f aca="false">国マスタ_評価スコア!A5</f>
        <v>シンガポール</v>
      </c>
      <c r="B7" s="22" t="n">
        <f aca="true">SUMPRODUCT(国マスタ_評価スコア!C5:L5,OFFSET(重み付けマトリクス!$B$3,MATCH($B$3,重み付けマトリクス!$A$4:$A$10,0),0,1,10))</f>
        <v>4.15</v>
      </c>
    </row>
    <row r="8" customFormat="false" ht="15" hidden="false" customHeight="false" outlineLevel="0" collapsed="false">
      <c r="A8" s="12" t="str">
        <f aca="false">国マスタ_評価スコア!A6</f>
        <v>タイ</v>
      </c>
      <c r="B8" s="22" t="n">
        <f aca="true">SUMPRODUCT(国マスタ_評価スコア!C6:L6,OFFSET(重み付けマトリクス!$B$3,MATCH($B$3,重み付けマトリクス!$A$4:$A$10,0),0,1,10))</f>
        <v>3.1</v>
      </c>
    </row>
    <row r="9" customFormat="false" ht="15" hidden="false" customHeight="false" outlineLevel="0" collapsed="false">
      <c r="A9" s="12" t="str">
        <f aca="false">国マスタ_評価スコア!A7</f>
        <v>フィリピン</v>
      </c>
      <c r="B9" s="22" t="n">
        <f aca="true">SUMPRODUCT(国マスタ_評価スコア!C7:L7,OFFSET(重み付けマトリクス!$B$3,MATCH($B$3,重み付けマトリクス!$A$4:$A$10,0),0,1,10))</f>
        <v>2.75</v>
      </c>
    </row>
    <row r="10" customFormat="false" ht="15" hidden="false" customHeight="false" outlineLevel="0" collapsed="false">
      <c r="A10" s="12" t="str">
        <f aca="false">国マスタ_評価スコア!A8</f>
        <v>韓国</v>
      </c>
      <c r="B10" s="22" t="n">
        <f aca="true">SUMPRODUCT(国マスタ_評価スコア!C8:L8,OFFSET(重み付けマトリクス!$B$3,MATCH($B$3,重み付けマトリクス!$A$4:$A$10,0),0,1,10))</f>
        <v>3.25</v>
      </c>
    </row>
    <row r="11" customFormat="false" ht="15" hidden="false" customHeight="false" outlineLevel="0" collapsed="false">
      <c r="A11" s="12" t="str">
        <f aca="false">国マスタ_評価スコア!A9</f>
        <v>台湾</v>
      </c>
      <c r="B11" s="22" t="n">
        <f aca="true">SUMPRODUCT(国マスタ_評価スコア!C9:L9,OFFSET(重み付けマトリクス!$B$3,MATCH($B$3,重み付けマトリクス!$A$4:$A$10,0),0,1,10))</f>
        <v>3.45</v>
      </c>
    </row>
    <row r="12" customFormat="false" ht="15" hidden="false" customHeight="false" outlineLevel="0" collapsed="false">
      <c r="A12" s="12" t="str">
        <f aca="false">国マスタ_評価スコア!A10</f>
        <v>香港</v>
      </c>
      <c r="B12" s="22" t="n">
        <f aca="true">SUMPRODUCT(国マスタ_評価スコア!C10:L10,OFFSET(重み付けマトリクス!$B$3,MATCH($B$3,重み付けマトリクス!$A$4:$A$10,0),0,1,10))</f>
        <v>3.25</v>
      </c>
    </row>
    <row r="13" customFormat="false" ht="15" hidden="false" customHeight="false" outlineLevel="0" collapsed="false">
      <c r="A13" s="12" t="str">
        <f aca="false">国マスタ_評価スコア!A11</f>
        <v>中国</v>
      </c>
      <c r="B13" s="22" t="n">
        <f aca="true">SUMPRODUCT(国マスタ_評価スコア!C11:L11,OFFSET(重み付けマトリクス!$B$3,MATCH($B$3,重み付けマトリクス!$A$4:$A$10,0),0,1,10))</f>
        <v>1.95</v>
      </c>
    </row>
    <row r="14" customFormat="false" ht="15" hidden="false" customHeight="false" outlineLevel="0" collapsed="false">
      <c r="A14" s="12" t="str">
        <f aca="false">国マスタ_評価スコア!A12</f>
        <v>インドネシア(バリ)</v>
      </c>
      <c r="B14" s="22" t="n">
        <f aca="true">SUMPRODUCT(国マスタ_評価スコア!C12:L12,OFFSET(重み付けマトリクス!$B$3,MATCH($B$3,重み付けマトリクス!$A$4:$A$10,0),0,1,10))</f>
        <v>2.5</v>
      </c>
    </row>
    <row r="15" customFormat="false" ht="15" hidden="false" customHeight="false" outlineLevel="0" collapsed="false">
      <c r="A15" s="12" t="str">
        <f aca="false">国マスタ_評価スコア!A13</f>
        <v>オーストラリア</v>
      </c>
      <c r="B15" s="22" t="n">
        <f aca="true">SUMPRODUCT(国マスタ_評価スコア!C13:L13,OFFSET(重み付けマトリクス!$B$3,MATCH($B$3,重み付けマトリクス!$A$4:$A$10,0),0,1,10))</f>
        <v>3.2</v>
      </c>
    </row>
    <row r="16" customFormat="false" ht="15" hidden="false" customHeight="false" outlineLevel="0" collapsed="false">
      <c r="A16" s="12" t="str">
        <f aca="false">国マスタ_評価スコア!A14</f>
        <v>ニュージーランド</v>
      </c>
      <c r="B16" s="22" t="n">
        <f aca="true">SUMPRODUCT(国マスタ_評価スコア!C14:L14,OFFSET(重み付けマトリクス!$B$3,MATCH($B$3,重み付けマトリクス!$A$4:$A$10,0),0,1,10))</f>
        <v>3.3</v>
      </c>
    </row>
    <row r="17" customFormat="false" ht="15" hidden="false" customHeight="false" outlineLevel="0" collapsed="false">
      <c r="A17" s="12" t="str">
        <f aca="false">国マスタ_評価スコア!A15</f>
        <v>カナダ</v>
      </c>
      <c r="B17" s="22" t="n">
        <f aca="true">SUMPRODUCT(国マスタ_評価スコア!C15:L15,OFFSET(重み付けマトリクス!$B$3,MATCH($B$3,重み付けマトリクス!$A$4:$A$10,0),0,1,10))</f>
        <v>3.25</v>
      </c>
    </row>
    <row r="18" customFormat="false" ht="15" hidden="false" customHeight="false" outlineLevel="0" collapsed="false">
      <c r="A18" s="12" t="str">
        <f aca="false">国マスタ_評価スコア!A16</f>
        <v>アメリカ</v>
      </c>
      <c r="B18" s="22" t="n">
        <f aca="true">SUMPRODUCT(国マスタ_評価スコア!C16:L16,OFFSET(重み付けマトリクス!$B$3,MATCH($B$3,重み付けマトリクス!$A$4:$A$10,0),0,1,10))</f>
        <v>2.2</v>
      </c>
    </row>
    <row r="19" customFormat="false" ht="15" hidden="false" customHeight="false" outlineLevel="0" collapsed="false">
      <c r="A19" s="12" t="str">
        <f aca="false">国マスタ_評価スコア!A17</f>
        <v>UAE(ドバイ)</v>
      </c>
      <c r="B19" s="22" t="n">
        <f aca="true">SUMPRODUCT(国マスタ_評価スコア!C17:L17,OFFSET(重み付けマトリクス!$B$3,MATCH($B$3,重み付けマトリクス!$A$4:$A$10,0),0,1,10))</f>
        <v>3.95</v>
      </c>
    </row>
    <row r="20" customFormat="false" ht="15" hidden="false" customHeight="false" outlineLevel="0" collapsed="false">
      <c r="A20" s="12" t="str">
        <f aca="false">国マスタ_評価スコア!A18</f>
        <v>スイス</v>
      </c>
      <c r="B20" s="22" t="n">
        <f aca="true">SUMPRODUCT(国マスタ_評価スコア!C18:L18,OFFSET(重み付けマトリクス!$B$3,MATCH($B$3,重み付けマトリクス!$A$4:$A$10,0),0,1,10))</f>
        <v>4.35</v>
      </c>
    </row>
    <row r="21" customFormat="false" ht="15" hidden="false" customHeight="false" outlineLevel="0" collapsed="false">
      <c r="A21" s="12" t="str">
        <f aca="false">国マスタ_評価スコア!A19</f>
        <v>イギリス</v>
      </c>
      <c r="B21" s="22" t="n">
        <f aca="true">SUMPRODUCT(国マスタ_評価スコア!C19:L19,OFFSET(重み付けマトリクス!$B$3,MATCH($B$3,重み付けマトリクス!$A$4:$A$10,0),0,1,10))</f>
        <v>2.85</v>
      </c>
    </row>
    <row r="22" customFormat="false" ht="15" hidden="false" customHeight="false" outlineLevel="0" collapsed="false">
      <c r="A22" s="12" t="str">
        <f aca="false">国マスタ_評価スコア!A20</f>
        <v>フランス</v>
      </c>
      <c r="B22" s="22" t="n">
        <f aca="true">SUMPRODUCT(国マスタ_評価スコア!C20:L20,OFFSET(重み付けマトリクス!$B$3,MATCH($B$3,重み付けマトリクス!$A$4:$A$10,0),0,1,10))</f>
        <v>3.2</v>
      </c>
    </row>
    <row r="23" customFormat="false" ht="15" hidden="false" customHeight="false" outlineLevel="0" collapsed="false">
      <c r="A23" s="12" t="str">
        <f aca="false">国マスタ_評価スコア!A21</f>
        <v>ポルトガル</v>
      </c>
      <c r="B23" s="22" t="n">
        <f aca="true">SUMPRODUCT(国マスタ_評価スコア!C21:L21,OFFSET(重み付けマトリクス!$B$3,MATCH($B$3,重み付けマトリクス!$A$4:$A$10,0),0,1,10))</f>
        <v>3.55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2026-08-15T19:11:18Z</dcterms:created>
  <dc:creator>openpyxl</dc:creator>
  <dc:description/>
  <dc:language>en-US</dc:language>
  <cp:lastModifiedBy/>
  <dcterms:modified xsi:type="dcterms:W3CDTF">2026-08-15T19:11:18Z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